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New folder\"/>
    </mc:Choice>
  </mc:AlternateContent>
  <xr:revisionPtr revIDLastSave="0" documentId="13_ncr:1_{72C52E90-781E-4BF9-95CC-0C1130831912}" xr6:coauthVersionLast="47" xr6:coauthVersionMax="47" xr10:uidLastSave="{00000000-0000-0000-0000-000000000000}"/>
  <bookViews>
    <workbookView xWindow="-103" yWindow="-103" windowWidth="25920" windowHeight="16749" xr2:uid="{FEE63F53-AB4A-421A-B167-4A657CE23276}"/>
  </bookViews>
  <sheets>
    <sheet name="Marking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1" i="1" l="1"/>
  <c r="H28" i="1" l="1"/>
  <c r="H29" i="1"/>
  <c r="H26" i="1"/>
  <c r="H27" i="1"/>
  <c r="C14" i="1" l="1"/>
  <c r="C26" i="1"/>
  <c r="C32" i="1" l="1"/>
  <c r="I2" i="1" l="1"/>
  <c r="I3" i="1" s="1"/>
</calcChain>
</file>

<file path=xl/sharedStrings.xml><?xml version="1.0" encoding="utf-8"?>
<sst xmlns="http://schemas.openxmlformats.org/spreadsheetml/2006/main" count="56" uniqueCount="51">
  <si>
    <t>Students</t>
  </si>
  <si>
    <t>Game Submission Mark / 100</t>
  </si>
  <si>
    <t>Team ID</t>
  </si>
  <si>
    <t>Game Submission Mark/35</t>
  </si>
  <si>
    <t>Class</t>
  </si>
  <si>
    <t>Game Submission</t>
  </si>
  <si>
    <t>Marking Criteria:</t>
  </si>
  <si>
    <t>Not implemented</t>
  </si>
  <si>
    <t>Simple / shallow implementation, missing key items, not well presented, and/or requires heavy polishing.</t>
  </si>
  <si>
    <t>Good implementation, but missing minor items and/or requires some polishing.</t>
  </si>
  <si>
    <t>Complete and excellent implementation.</t>
  </si>
  <si>
    <t>Comment</t>
  </si>
  <si>
    <t>Basic Requirements</t>
  </si>
  <si>
    <t>Score</t>
  </si>
  <si>
    <t>Item</t>
  </si>
  <si>
    <t>Description</t>
  </si>
  <si>
    <t>Weight</t>
  </si>
  <si>
    <t>Mark / 1</t>
  </si>
  <si>
    <t>Mark * Weight</t>
  </si>
  <si>
    <t>Main Menu</t>
  </si>
  <si>
    <t>The game must feature a main menu screen including (but not limited to) the following options: a. Start Game b. Instructions c. Credits d.Options/Settings e. Exit</t>
  </si>
  <si>
    <t>Levels</t>
  </si>
  <si>
    <t>Animation</t>
  </si>
  <si>
    <t>Camera</t>
  </si>
  <si>
    <t>The game must implement any of the three custom camera types (third person, first person, or observation)</t>
  </si>
  <si>
    <t>Controls</t>
  </si>
  <si>
    <t>Rewards</t>
  </si>
  <si>
    <t>Sounds</t>
  </si>
  <si>
    <t>Graphics &amp; Visual Effects</t>
  </si>
  <si>
    <t>Innovation</t>
  </si>
  <si>
    <t>Innovation in Design, Mechanics or Narrative that makes the developed game unique compared to other games in the market</t>
  </si>
  <si>
    <t>Polish</t>
  </si>
  <si>
    <t>Publishing</t>
  </si>
  <si>
    <t>A working build of the final game must be provided</t>
  </si>
  <si>
    <t>Custom Requirements</t>
  </si>
  <si>
    <t>Mark</t>
  </si>
  <si>
    <t>Advanced Custom Requirement</t>
  </si>
  <si>
    <t>Custom Requirement 1</t>
  </si>
  <si>
    <t>Custom Requirement 2</t>
  </si>
  <si>
    <t>Custom Requirement 3</t>
  </si>
  <si>
    <t>Custom Requirement 4</t>
  </si>
  <si>
    <t>Game Submission Total / 70</t>
  </si>
  <si>
    <t>Comments:</t>
  </si>
  <si>
    <t>The game must include a minimum of  number of levels as the team size, and the quality of work is adequate</t>
  </si>
  <si>
    <t>The game must feature appropriate sound effects, music and environment sounds with a Sound Controller</t>
  </si>
  <si>
    <t>The game must implement some form of a rewarding system (points, score, coins, etc.) or a Quest/Pop-up System if the game is story-based</t>
  </si>
  <si>
    <t>The game must implement an intuitive control scheme that is consistent across different scenes/levels</t>
  </si>
  <si>
    <t>The game must include at least one animated character with multiple animation states (idle, walking, running, etc.). Game environment is animated and not static</t>
  </si>
  <si>
    <t>The game must feature some visual effects (particle systems, post-processing, etc.) and graphics that are consistent in terms of art style</t>
  </si>
  <si>
    <t>The game must be properly tested, and the gameplay experience must be bugs-free and seamless</t>
  </si>
  <si>
    <t>Custom Requirement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</si>
</sst>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DEBF7"/>
        <bgColor rgb="FF000000"/>
      </patternFill>
    </fill>
  </fills>
  <borders count="1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 applyAlignment="1">
      <alignment vertical="center"/>
    </xf>
    <xf numFmtId="0" fontId="1" fillId="0" borderId="3" xfId="0" applyFont="1" applyBorder="1"/>
    <xf numFmtId="0" fontId="0" fillId="0" borderId="4" xfId="0" applyBorder="1" applyAlignment="1">
      <alignment horizontal="center"/>
    </xf>
    <xf numFmtId="0" fontId="0" fillId="2" borderId="0" xfId="0" applyFill="1"/>
    <xf numFmtId="0" fontId="4" fillId="0" borderId="0" xfId="0" applyFont="1"/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3" borderId="1" xfId="0" applyFill="1" applyBorder="1"/>
    <xf numFmtId="0" fontId="0" fillId="3" borderId="10" xfId="0" applyFill="1" applyBorder="1"/>
    <xf numFmtId="0" fontId="0" fillId="3" borderId="0" xfId="0" applyFill="1"/>
    <xf numFmtId="0" fontId="0" fillId="3" borderId="8" xfId="0" applyFill="1" applyBorder="1"/>
    <xf numFmtId="0" fontId="5" fillId="4" borderId="7" xfId="0" applyFont="1" applyFill="1" applyBorder="1" applyAlignment="1">
      <alignment horizontal="center" vertical="center" wrapText="1"/>
    </xf>
    <xf numFmtId="0" fontId="1" fillId="0" borderId="0" xfId="0" applyFont="1"/>
    <xf numFmtId="0" fontId="1" fillId="0" borderId="8" xfId="0" applyFont="1" applyBorder="1"/>
    <xf numFmtId="0" fontId="1" fillId="0" borderId="2" xfId="0" applyFont="1" applyBorder="1"/>
    <xf numFmtId="0" fontId="1" fillId="0" borderId="6" xfId="0" applyFont="1" applyBorder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6" borderId="4" xfId="0" applyFill="1" applyBorder="1" applyAlignment="1">
      <alignment horizontal="left"/>
    </xf>
    <xf numFmtId="0" fontId="6" fillId="7" borderId="0" xfId="0" applyFont="1" applyFill="1"/>
    <xf numFmtId="0" fontId="1" fillId="3" borderId="11" xfId="0" applyFont="1" applyFill="1" applyBorder="1"/>
    <xf numFmtId="0" fontId="1" fillId="0" borderId="11" xfId="0" applyFont="1" applyBorder="1"/>
    <xf numFmtId="0" fontId="1" fillId="0" borderId="12" xfId="0" applyFont="1" applyBorder="1"/>
    <xf numFmtId="0" fontId="3" fillId="3" borderId="11" xfId="0" applyFont="1" applyFill="1" applyBorder="1" applyAlignment="1">
      <alignment wrapText="1"/>
    </xf>
    <xf numFmtId="0" fontId="3" fillId="0" borderId="11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1" fillId="0" borderId="5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0" fillId="0" borderId="5" xfId="0" applyBorder="1" applyAlignment="1">
      <alignment horizontal="right" wrapText="1"/>
    </xf>
    <xf numFmtId="0" fontId="0" fillId="0" borderId="9" xfId="0" applyBorder="1" applyAlignment="1">
      <alignment horizontal="right" wrapText="1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5" borderId="0" xfId="0" applyFont="1" applyFill="1" applyAlignment="1">
      <alignment horizontal="left" vertical="center"/>
    </xf>
    <xf numFmtId="0" fontId="3" fillId="5" borderId="8" xfId="0" applyFont="1" applyFill="1" applyBorder="1" applyAlignment="1">
      <alignment horizontal="left" vertical="center"/>
    </xf>
    <xf numFmtId="0" fontId="1" fillId="0" borderId="4" xfId="0" applyFont="1" applyBorder="1" applyAlignment="1">
      <alignment horizontal="left"/>
    </xf>
    <xf numFmtId="0" fontId="0" fillId="0" borderId="3" xfId="0" applyBorder="1" applyAlignment="1">
      <alignment horizontal="left" wrapText="1"/>
    </xf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5" fillId="4" borderId="7" xfId="0" applyFont="1" applyFill="1" applyBorder="1" applyAlignment="1">
      <alignment horizontal="left" vertical="center" wrapText="1"/>
    </xf>
    <xf numFmtId="0" fontId="3" fillId="4" borderId="0" xfId="0" applyFont="1" applyFill="1" applyAlignment="1">
      <alignment horizontal="left" vertical="center"/>
    </xf>
    <xf numFmtId="0" fontId="3" fillId="4" borderId="8" xfId="0" applyFont="1" applyFill="1" applyBorder="1" applyAlignment="1">
      <alignment horizontal="left" vertical="center"/>
    </xf>
    <xf numFmtId="0" fontId="1" fillId="0" borderId="0" xfId="0" applyFont="1" applyBorder="1"/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4ABE8-36F2-4FF8-8AEE-7D5576FA7516}">
  <dimension ref="B2:I47"/>
  <sheetViews>
    <sheetView tabSelected="1" zoomScale="153" zoomScaleNormal="153" workbookViewId="0">
      <selection activeCell="E19" sqref="E19"/>
    </sheetView>
  </sheetViews>
  <sheetFormatPr defaultRowHeight="14.6" x14ac:dyDescent="0.4"/>
  <cols>
    <col min="2" max="2" width="15.3046875" customWidth="1"/>
    <col min="4" max="4" width="41.3828125" customWidth="1"/>
    <col min="5" max="5" width="30" customWidth="1"/>
    <col min="7" max="7" width="8.15234375" bestFit="1" customWidth="1"/>
    <col min="8" max="8" width="13.84375" bestFit="1" customWidth="1"/>
    <col min="9" max="9" width="52.15234375" customWidth="1"/>
  </cols>
  <sheetData>
    <row r="2" spans="2:9" s="22" customFormat="1" ht="66.75" customHeight="1" x14ac:dyDescent="0.4">
      <c r="B2" s="21" t="s">
        <v>0</v>
      </c>
      <c r="C2" s="60"/>
      <c r="D2" s="61"/>
      <c r="F2" s="59" t="s">
        <v>1</v>
      </c>
      <c r="G2" s="59"/>
      <c r="H2" s="59"/>
      <c r="I2" s="23">
        <f>C32*100/70</f>
        <v>100</v>
      </c>
    </row>
    <row r="3" spans="2:9" x14ac:dyDescent="0.4">
      <c r="B3" s="3" t="s">
        <v>2</v>
      </c>
      <c r="C3" s="62"/>
      <c r="D3" s="62"/>
      <c r="F3" s="59" t="s">
        <v>3</v>
      </c>
      <c r="G3" s="59"/>
      <c r="H3" s="59"/>
      <c r="I3" s="4">
        <f>I2*35/100</f>
        <v>35</v>
      </c>
    </row>
    <row r="4" spans="2:9" x14ac:dyDescent="0.4">
      <c r="B4" s="3" t="s">
        <v>4</v>
      </c>
      <c r="C4" s="62"/>
      <c r="D4" s="62"/>
    </row>
    <row r="5" spans="2:9" ht="4.5" customHeight="1" thickBot="1" x14ac:dyDescent="0.45">
      <c r="B5" s="5"/>
      <c r="C5" s="5"/>
      <c r="D5" s="5"/>
      <c r="E5" s="5"/>
      <c r="F5" s="5"/>
      <c r="G5" s="5"/>
      <c r="H5" s="5"/>
      <c r="I5" s="5"/>
    </row>
    <row r="6" spans="2:9" ht="18.45" x14ac:dyDescent="0.5">
      <c r="B6" s="63" t="s">
        <v>5</v>
      </c>
      <c r="C6" s="64"/>
      <c r="D6" s="64"/>
      <c r="E6" s="64"/>
      <c r="F6" s="64"/>
      <c r="G6" s="64"/>
      <c r="H6" s="65"/>
      <c r="I6" s="5"/>
    </row>
    <row r="7" spans="2:9" x14ac:dyDescent="0.4">
      <c r="B7" s="66" t="s">
        <v>6</v>
      </c>
      <c r="C7" s="67"/>
      <c r="D7" s="67"/>
      <c r="E7" s="67"/>
      <c r="F7" s="67"/>
      <c r="G7" s="67"/>
      <c r="H7" s="68"/>
      <c r="I7" s="5"/>
    </row>
    <row r="8" spans="2:9" x14ac:dyDescent="0.4">
      <c r="B8" s="14">
        <v>0</v>
      </c>
      <c r="C8" s="57" t="s">
        <v>7</v>
      </c>
      <c r="D8" s="57"/>
      <c r="E8" s="57"/>
      <c r="F8" s="57"/>
      <c r="G8" s="57"/>
      <c r="H8" s="58"/>
      <c r="I8" s="5"/>
    </row>
    <row r="9" spans="2:9" ht="15" customHeight="1" x14ac:dyDescent="0.4">
      <c r="B9" s="14">
        <v>0.5</v>
      </c>
      <c r="C9" s="57" t="s">
        <v>8</v>
      </c>
      <c r="D9" s="57"/>
      <c r="E9" s="57"/>
      <c r="F9" s="57"/>
      <c r="G9" s="57"/>
      <c r="H9" s="58"/>
      <c r="I9" s="5"/>
    </row>
    <row r="10" spans="2:9" ht="15" customHeight="1" x14ac:dyDescent="0.4">
      <c r="B10" s="14">
        <v>0.75</v>
      </c>
      <c r="C10" s="57" t="s">
        <v>9</v>
      </c>
      <c r="D10" s="57"/>
      <c r="E10" s="57"/>
      <c r="F10" s="57"/>
      <c r="G10" s="57"/>
      <c r="H10" s="58"/>
      <c r="I10" s="5"/>
    </row>
    <row r="11" spans="2:9" ht="15" customHeight="1" x14ac:dyDescent="0.4">
      <c r="B11" s="14">
        <v>1</v>
      </c>
      <c r="C11" s="57" t="s">
        <v>10</v>
      </c>
      <c r="D11" s="57"/>
      <c r="E11" s="57"/>
      <c r="F11" s="57"/>
      <c r="G11" s="57"/>
      <c r="H11" s="58"/>
      <c r="I11" s="5"/>
    </row>
    <row r="12" spans="2:9" x14ac:dyDescent="0.4">
      <c r="B12" s="46"/>
      <c r="C12" s="47"/>
      <c r="D12" s="47"/>
      <c r="E12" s="47"/>
      <c r="F12" s="47"/>
      <c r="G12" s="47"/>
      <c r="H12" s="48"/>
      <c r="I12" s="5" t="s">
        <v>11</v>
      </c>
    </row>
    <row r="13" spans="2:9" x14ac:dyDescent="0.4">
      <c r="B13" s="53" t="s">
        <v>12</v>
      </c>
      <c r="C13" s="15" t="s">
        <v>13</v>
      </c>
      <c r="D13" s="15" t="s">
        <v>14</v>
      </c>
      <c r="E13" s="15" t="s">
        <v>15</v>
      </c>
      <c r="F13" s="15" t="s">
        <v>16</v>
      </c>
      <c r="G13" s="15" t="s">
        <v>17</v>
      </c>
      <c r="H13" s="16" t="s">
        <v>18</v>
      </c>
      <c r="I13" s="5"/>
    </row>
    <row r="14" spans="2:9" ht="48.75" customHeight="1" x14ac:dyDescent="0.4">
      <c r="B14" s="53"/>
      <c r="C14" s="56">
        <f>SUM(H14:H24)</f>
        <v>44</v>
      </c>
      <c r="D14" s="25" t="s">
        <v>19</v>
      </c>
      <c r="E14" s="28" t="s">
        <v>20</v>
      </c>
      <c r="F14" s="31">
        <v>3</v>
      </c>
      <c r="G14" s="33">
        <v>1</v>
      </c>
      <c r="H14" s="35">
        <v>3</v>
      </c>
      <c r="I14" s="5"/>
    </row>
    <row r="15" spans="2:9" ht="61.5" customHeight="1" x14ac:dyDescent="0.4">
      <c r="B15" s="53"/>
      <c r="C15" s="56"/>
      <c r="D15" s="26" t="s">
        <v>21</v>
      </c>
      <c r="E15" s="29" t="s">
        <v>43</v>
      </c>
      <c r="F15" s="31">
        <v>5</v>
      </c>
      <c r="G15" s="33">
        <v>1</v>
      </c>
      <c r="H15" s="35">
        <v>5</v>
      </c>
      <c r="I15" s="5"/>
    </row>
    <row r="16" spans="2:9" ht="99" customHeight="1" x14ac:dyDescent="0.4">
      <c r="B16" s="53"/>
      <c r="C16" s="56"/>
      <c r="D16" s="25" t="s">
        <v>22</v>
      </c>
      <c r="E16" s="28" t="s">
        <v>47</v>
      </c>
      <c r="F16" s="31">
        <v>5</v>
      </c>
      <c r="G16" s="33">
        <v>1</v>
      </c>
      <c r="H16" s="35">
        <v>5</v>
      </c>
      <c r="I16" s="5"/>
    </row>
    <row r="17" spans="2:9" ht="96.75" customHeight="1" x14ac:dyDescent="0.4">
      <c r="B17" s="53"/>
      <c r="C17" s="56"/>
      <c r="D17" s="25" t="s">
        <v>23</v>
      </c>
      <c r="E17" s="28" t="s">
        <v>24</v>
      </c>
      <c r="F17" s="31">
        <v>3</v>
      </c>
      <c r="G17" s="33">
        <v>1</v>
      </c>
      <c r="H17" s="35">
        <v>3</v>
      </c>
      <c r="I17" s="24"/>
    </row>
    <row r="18" spans="2:9" ht="60.75" customHeight="1" x14ac:dyDescent="0.4">
      <c r="B18" s="53"/>
      <c r="C18" s="56"/>
      <c r="D18" s="25" t="s">
        <v>25</v>
      </c>
      <c r="E18" s="28" t="s">
        <v>46</v>
      </c>
      <c r="F18" s="31">
        <v>3</v>
      </c>
      <c r="G18" s="33">
        <v>1</v>
      </c>
      <c r="H18" s="35">
        <v>3</v>
      </c>
      <c r="I18" s="5"/>
    </row>
    <row r="19" spans="2:9" ht="73.5" customHeight="1" x14ac:dyDescent="0.4">
      <c r="B19" s="53"/>
      <c r="C19" s="56"/>
      <c r="D19" s="25" t="s">
        <v>26</v>
      </c>
      <c r="E19" s="28" t="s">
        <v>45</v>
      </c>
      <c r="F19" s="31">
        <v>3</v>
      </c>
      <c r="G19" s="33">
        <v>1</v>
      </c>
      <c r="H19" s="35">
        <v>3</v>
      </c>
      <c r="I19" s="5"/>
    </row>
    <row r="20" spans="2:9" ht="36.450000000000003" x14ac:dyDescent="0.4">
      <c r="B20" s="53"/>
      <c r="C20" s="56"/>
      <c r="D20" s="25" t="s">
        <v>27</v>
      </c>
      <c r="E20" s="28" t="s">
        <v>44</v>
      </c>
      <c r="F20" s="31">
        <v>4</v>
      </c>
      <c r="G20" s="33">
        <v>1</v>
      </c>
      <c r="H20" s="35">
        <v>4</v>
      </c>
      <c r="I20" s="24"/>
    </row>
    <row r="21" spans="2:9" ht="86.25" customHeight="1" x14ac:dyDescent="0.4">
      <c r="B21" s="53"/>
      <c r="C21" s="56"/>
      <c r="D21" s="25" t="s">
        <v>28</v>
      </c>
      <c r="E21" s="28" t="s">
        <v>48</v>
      </c>
      <c r="F21" s="31">
        <v>5</v>
      </c>
      <c r="G21" s="33">
        <v>1</v>
      </c>
      <c r="H21" s="35">
        <v>5</v>
      </c>
      <c r="I21" s="5"/>
    </row>
    <row r="22" spans="2:9" ht="86.25" customHeight="1" x14ac:dyDescent="0.4">
      <c r="B22" s="53"/>
      <c r="C22" s="56"/>
      <c r="D22" s="25" t="s">
        <v>29</v>
      </c>
      <c r="E22" s="28" t="s">
        <v>30</v>
      </c>
      <c r="F22" s="31">
        <v>5</v>
      </c>
      <c r="G22" s="33">
        <v>1</v>
      </c>
      <c r="H22" s="35">
        <v>5</v>
      </c>
      <c r="I22" s="5"/>
    </row>
    <row r="23" spans="2:9" ht="93.75" customHeight="1" x14ac:dyDescent="0.4">
      <c r="B23" s="53"/>
      <c r="C23" s="56"/>
      <c r="D23" s="26" t="s">
        <v>31</v>
      </c>
      <c r="E23" s="29" t="s">
        <v>49</v>
      </c>
      <c r="F23" s="31">
        <v>5</v>
      </c>
      <c r="G23" s="33">
        <v>1</v>
      </c>
      <c r="H23" s="35">
        <v>5</v>
      </c>
      <c r="I23" s="24"/>
    </row>
    <row r="24" spans="2:9" ht="62.25" customHeight="1" thickBot="1" x14ac:dyDescent="0.45">
      <c r="B24" s="54"/>
      <c r="C24" s="52"/>
      <c r="D24" s="27" t="s">
        <v>32</v>
      </c>
      <c r="E24" s="30" t="s">
        <v>33</v>
      </c>
      <c r="F24" s="32">
        <v>3</v>
      </c>
      <c r="G24" s="34">
        <v>1</v>
      </c>
      <c r="H24" s="36">
        <v>3</v>
      </c>
      <c r="I24" s="5"/>
    </row>
    <row r="25" spans="2:9" x14ac:dyDescent="0.4">
      <c r="B25" s="55" t="s">
        <v>34</v>
      </c>
      <c r="C25" s="17" t="s">
        <v>35</v>
      </c>
      <c r="D25" s="17" t="s">
        <v>14</v>
      </c>
      <c r="E25" s="17" t="s">
        <v>15</v>
      </c>
      <c r="F25" s="17" t="s">
        <v>16</v>
      </c>
      <c r="G25" s="17" t="s">
        <v>17</v>
      </c>
      <c r="H25" s="18" t="s">
        <v>18</v>
      </c>
      <c r="I25" s="5"/>
    </row>
    <row r="26" spans="2:9" ht="15" customHeight="1" x14ac:dyDescent="0.4">
      <c r="B26" s="53"/>
      <c r="C26" s="56">
        <f>SUM(H26:H31)</f>
        <v>26</v>
      </c>
      <c r="D26" s="15" t="s">
        <v>36</v>
      </c>
      <c r="E26" s="1"/>
      <c r="F26" s="19">
        <v>6</v>
      </c>
      <c r="G26" s="7">
        <v>1</v>
      </c>
      <c r="H26" s="8">
        <f>G26*F26</f>
        <v>6</v>
      </c>
      <c r="I26" s="5"/>
    </row>
    <row r="27" spans="2:9" x14ac:dyDescent="0.4">
      <c r="B27" s="53"/>
      <c r="C27" s="56"/>
      <c r="D27" s="15" t="s">
        <v>37</v>
      </c>
      <c r="E27" s="1"/>
      <c r="F27" s="19">
        <v>4</v>
      </c>
      <c r="G27" s="7">
        <v>1</v>
      </c>
      <c r="H27" s="8">
        <f t="shared" ref="H27" si="0">G27*F27</f>
        <v>4</v>
      </c>
      <c r="I27" s="5"/>
    </row>
    <row r="28" spans="2:9" x14ac:dyDescent="0.4">
      <c r="B28" s="53"/>
      <c r="C28" s="56"/>
      <c r="D28" s="15" t="s">
        <v>38</v>
      </c>
      <c r="E28" s="1"/>
      <c r="F28" s="19">
        <v>4</v>
      </c>
      <c r="G28" s="7">
        <v>1</v>
      </c>
      <c r="H28" s="8">
        <f t="shared" ref="H28:H31" si="1">G28*F28</f>
        <v>4</v>
      </c>
      <c r="I28" s="5"/>
    </row>
    <row r="29" spans="2:9" x14ac:dyDescent="0.4">
      <c r="B29" s="53"/>
      <c r="C29" s="56"/>
      <c r="D29" s="15" t="s">
        <v>39</v>
      </c>
      <c r="E29" s="1"/>
      <c r="F29" s="19">
        <v>4</v>
      </c>
      <c r="G29" s="7">
        <v>1</v>
      </c>
      <c r="H29" s="8">
        <f t="shared" si="1"/>
        <v>4</v>
      </c>
      <c r="I29" s="5"/>
    </row>
    <row r="30" spans="2:9" x14ac:dyDescent="0.4">
      <c r="B30" s="53"/>
      <c r="C30" s="56"/>
      <c r="D30" s="69" t="s">
        <v>40</v>
      </c>
      <c r="E30" s="1"/>
      <c r="F30" s="19">
        <v>4</v>
      </c>
      <c r="G30" s="7">
        <v>1</v>
      </c>
      <c r="H30" s="8">
        <v>4</v>
      </c>
      <c r="I30" s="5"/>
    </row>
    <row r="31" spans="2:9" ht="15" thickBot="1" x14ac:dyDescent="0.45">
      <c r="B31" s="54"/>
      <c r="C31" s="52"/>
      <c r="D31" s="70" t="s">
        <v>50</v>
      </c>
      <c r="E31" s="20"/>
      <c r="F31" s="20">
        <v>4</v>
      </c>
      <c r="G31" s="20">
        <v>1</v>
      </c>
      <c r="H31" s="9">
        <f t="shared" si="1"/>
        <v>4</v>
      </c>
      <c r="I31" s="5"/>
    </row>
    <row r="32" spans="2:9" x14ac:dyDescent="0.4">
      <c r="B32" s="49" t="s">
        <v>41</v>
      </c>
      <c r="C32" s="51">
        <f>C14+C26</f>
        <v>70</v>
      </c>
      <c r="D32" s="12"/>
      <c r="E32" s="12"/>
      <c r="F32" s="12"/>
      <c r="G32" s="12"/>
      <c r="H32" s="13"/>
      <c r="I32" s="5"/>
    </row>
    <row r="33" spans="2:9" ht="29.25" customHeight="1" thickBot="1" x14ac:dyDescent="0.45">
      <c r="B33" s="50"/>
      <c r="C33" s="52"/>
      <c r="D33" s="10"/>
      <c r="E33" s="10"/>
      <c r="F33" s="10"/>
      <c r="G33" s="10"/>
      <c r="H33" s="11"/>
      <c r="I33" s="5"/>
    </row>
    <row r="34" spans="2:9" x14ac:dyDescent="0.4">
      <c r="B34" s="37" t="s">
        <v>42</v>
      </c>
      <c r="C34" s="38"/>
      <c r="D34" s="38"/>
      <c r="E34" s="38"/>
      <c r="F34" s="38"/>
      <c r="G34" s="38"/>
      <c r="H34" s="39"/>
      <c r="I34" s="5"/>
    </row>
    <row r="35" spans="2:9" x14ac:dyDescent="0.4">
      <c r="B35" s="40"/>
      <c r="C35" s="41"/>
      <c r="D35" s="41"/>
      <c r="E35" s="41"/>
      <c r="F35" s="41"/>
      <c r="G35" s="41"/>
      <c r="H35" s="42"/>
      <c r="I35" s="5"/>
    </row>
    <row r="36" spans="2:9" x14ac:dyDescent="0.4">
      <c r="B36" s="40"/>
      <c r="C36" s="41"/>
      <c r="D36" s="41"/>
      <c r="E36" s="41"/>
      <c r="F36" s="41"/>
      <c r="G36" s="41"/>
      <c r="H36" s="42"/>
      <c r="I36" s="5"/>
    </row>
    <row r="37" spans="2:9" x14ac:dyDescent="0.4">
      <c r="B37" s="40"/>
      <c r="C37" s="41"/>
      <c r="D37" s="41"/>
      <c r="E37" s="41"/>
      <c r="F37" s="41"/>
      <c r="G37" s="41"/>
      <c r="H37" s="42"/>
      <c r="I37" s="5"/>
    </row>
    <row r="38" spans="2:9" x14ac:dyDescent="0.4">
      <c r="B38" s="40"/>
      <c r="C38" s="41"/>
      <c r="D38" s="41"/>
      <c r="E38" s="41"/>
      <c r="F38" s="41"/>
      <c r="G38" s="41"/>
      <c r="H38" s="42"/>
      <c r="I38" s="5"/>
    </row>
    <row r="39" spans="2:9" ht="15" thickBot="1" x14ac:dyDescent="0.45">
      <c r="B39" s="43"/>
      <c r="C39" s="44"/>
      <c r="D39" s="44"/>
      <c r="E39" s="44"/>
      <c r="F39" s="44"/>
      <c r="G39" s="44"/>
      <c r="H39" s="45"/>
      <c r="I39" s="5"/>
    </row>
    <row r="40" spans="2:9" ht="6" customHeight="1" x14ac:dyDescent="0.4">
      <c r="B40" s="5"/>
      <c r="C40" s="5"/>
      <c r="D40" s="5"/>
      <c r="E40" s="5"/>
      <c r="F40" s="5"/>
      <c r="G40" s="5"/>
      <c r="H40" s="5"/>
      <c r="I40" s="5"/>
    </row>
    <row r="43" spans="2:9" ht="18.45" x14ac:dyDescent="0.5">
      <c r="H43" s="6"/>
    </row>
    <row r="44" spans="2:9" x14ac:dyDescent="0.4">
      <c r="H44" s="2"/>
    </row>
    <row r="45" spans="2:9" x14ac:dyDescent="0.4">
      <c r="H45" s="2"/>
    </row>
    <row r="46" spans="2:9" x14ac:dyDescent="0.4">
      <c r="H46" s="2"/>
    </row>
    <row r="47" spans="2:9" x14ac:dyDescent="0.4">
      <c r="H47" s="2"/>
    </row>
  </sheetData>
  <mergeCells count="20">
    <mergeCell ref="C9:H9"/>
    <mergeCell ref="C10:H10"/>
    <mergeCell ref="C11:H11"/>
    <mergeCell ref="F3:H3"/>
    <mergeCell ref="C2:D2"/>
    <mergeCell ref="C4:D4"/>
    <mergeCell ref="C3:D3"/>
    <mergeCell ref="F2:H2"/>
    <mergeCell ref="B6:H6"/>
    <mergeCell ref="B7:H7"/>
    <mergeCell ref="C8:H8"/>
    <mergeCell ref="B34:H34"/>
    <mergeCell ref="B35:H39"/>
    <mergeCell ref="B12:H12"/>
    <mergeCell ref="B32:B33"/>
    <mergeCell ref="C32:C33"/>
    <mergeCell ref="B13:B24"/>
    <mergeCell ref="B25:B31"/>
    <mergeCell ref="C26:C31"/>
    <mergeCell ref="C14:C24"/>
  </mergeCells>
  <phoneticPr fontId="2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0FAC825F5FC442BE836C54BAD9563E" ma:contentTypeVersion="23" ma:contentTypeDescription="Create a new document." ma:contentTypeScope="" ma:versionID="ba896c62f15c1c180ae21f8451c856e7">
  <xsd:schema xmlns:xsd="http://www.w3.org/2001/XMLSchema" xmlns:xs="http://www.w3.org/2001/XMLSchema" xmlns:p="http://schemas.microsoft.com/office/2006/metadata/properties" xmlns:ns1="http://schemas.microsoft.com/sharepoint/v3" xmlns:ns2="8d93c8f0-1780-4590-b8e6-b26b36888c48" xmlns:ns3="db90e03c-c32c-406a-8fd4-a43b742334a1" targetNamespace="http://schemas.microsoft.com/office/2006/metadata/properties" ma:root="true" ma:fieldsID="1f17ae8eb3888449dbb95b4bd3e0089a" ns1:_="" ns2:_="" ns3:_="">
    <xsd:import namespace="http://schemas.microsoft.com/sharepoint/v3"/>
    <xsd:import namespace="8d93c8f0-1780-4590-b8e6-b26b36888c48"/>
    <xsd:import namespace="db90e03c-c32c-406a-8fd4-a43b742334a1"/>
    <xsd:element name="properties">
      <xsd:complexType>
        <xsd:sequence>
          <xsd:element name="documentManagement">
            <xsd:complexType>
              <xsd:all>
                <xsd:element ref="ns1:_dlc_Exempt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dlc_Exempt" ma:index="4" nillable="true" ma:displayName="Exempt from Policy" ma:hidden="true" ma:internalName="_dlc_Exempt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93c8f0-1780-4590-b8e6-b26b36888c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7a594237-becf-499d-88d2-cd12578c78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90e03c-c32c-406a-8fd4-a43b742334a1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b5e94f15-55e0-426f-95f7-1e825336a99e}" ma:internalName="TaxCatchAll" ma:showField="CatchAllData" ma:web="db90e03c-c32c-406a-8fd4-a43b742334a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5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p:Policy xmlns:p="office.server.policy" id="" local="true">
  <p:Name>Document</p:Name>
  <p:Description/>
  <p:Statement/>
  <p:PolicyItems>
    <p:PolicyItem featureId="Microsoft.Office.RecordsManagement.PolicyFeatures.PolicyAudit" staticId="0x010100350FAC825F5FC442BE836C54BAD9563E|1757814118" UniqueId="e1ae0543-4c35-4ac2-9f3e-154604f12b4a">
      <p:Name>Auditing</p:Name>
      <p:Description>Audits user actions on documents and list items to the Audit Log.</p:Description>
      <p:CustomData>
        <Audit>
          <Update/>
          <CheckInOut/>
          <MoveCopy/>
          <DeleteRestore/>
        </Audit>
      </p:CustomData>
    </p:PolicyItem>
  </p:PolicyItems>
</p:Policy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b90e03c-c32c-406a-8fd4-a43b742334a1" xsi:nil="true"/>
    <lcf76f155ced4ddcb4097134ff3c332f xmlns="8d93c8f0-1780-4590-b8e6-b26b36888c4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BAF30D0-B205-4344-B54C-E02FA169A9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8d93c8f0-1780-4590-b8e6-b26b36888c48"/>
    <ds:schemaRef ds:uri="db90e03c-c32c-406a-8fd4-a43b742334a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A26BEBD-F61D-4ABF-9B5E-FBBD3BB64091}">
  <ds:schemaRefs>
    <ds:schemaRef ds:uri="office.server.policy"/>
  </ds:schemaRefs>
</ds:datastoreItem>
</file>

<file path=customXml/itemProps3.xml><?xml version="1.0" encoding="utf-8"?>
<ds:datastoreItem xmlns:ds="http://schemas.openxmlformats.org/officeDocument/2006/customXml" ds:itemID="{11FBAF21-4D99-47F5-B8CA-0B196AA9B513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49A8B41-1341-4C83-921A-B7DF5EF4CD2F}">
  <ds:schemaRefs>
    <ds:schemaRef ds:uri="http://schemas.microsoft.com/office/2006/metadata/properties"/>
    <ds:schemaRef ds:uri="http://schemas.microsoft.com/office/infopath/2007/PartnerControls"/>
    <ds:schemaRef ds:uri="db90e03c-c32c-406a-8fd4-a43b742334a1"/>
    <ds:schemaRef ds:uri="8d93c8f0-1780-4590-b8e6-b26b36888c4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Moneim Ali</dc:creator>
  <cp:keywords/>
  <dc:description/>
  <cp:lastModifiedBy>Haetham Ali Jasim Salman A.Almerzem Alhaddad</cp:lastModifiedBy>
  <cp:revision/>
  <dcterms:created xsi:type="dcterms:W3CDTF">2021-06-10T09:45:30Z</dcterms:created>
  <dcterms:modified xsi:type="dcterms:W3CDTF">2026-02-16T12:06:11Z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0x010100350FAC825F5FC442BE836C54BAD9563E</vt:lpwstr>
  </property>
  <property fmtid="{D5CDD505-2E9C-101B-9397-08002B2CF9AE}" pid="3" name="MediaServiceImageTags">
    <vt:lpwstr/>
  </property>
</Properties>
</file>